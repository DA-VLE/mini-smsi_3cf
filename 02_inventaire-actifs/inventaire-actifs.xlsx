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21cebc184594f5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ventaire" sheetId="1" r:id="R229bce1064314553"/>
    <x:sheet xmlns:r="http://schemas.openxmlformats.org/officeDocument/2006/relationships" name="Synthèse" sheetId="2" r:id="R495c088988244aa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1"/>
      <x:color rgb="FFFFFF"/>
      <x:name val="Carlito"/>
    </x:font>
    <x:font>
      <x:b/>
      <x:sz val="14"/>
      <x:name val="Carlito"/>
    </x:font>
    <x:font>
      <x:b/>
      <x:sz val="11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1F4E78"/>
      </x:patternFill>
    </x:fill>
    <x:fill>
      <x:patternFill patternType="solid">
        <x:fgColor rgb="D9EAF7"/>
      </x:patternFill>
    </x:fill>
    <x:fill>
      <x:patternFill patternType="solid">
        <x:fgColor rgb="EAF2F8"/>
      </x:patternFill>
    </x:fill>
  </x:fills>
  <x:borders count="2">
    <x:border/>
    <x:border/>
  </x:borders>
  <x:cellStyleXfs count="1">
    <x:xf numFmtId="0" fontId="0" fillId="0" borderId="0"/>
  </x:cellStyleXfs>
  <x:cellXfs count="2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vertical="top" wrapText="1"/>
    </x:xf>
    <x:xf numFmtId="0" fontId="0" fillId="0" borderId="0" xfId="0" applyNumberFormat="1" applyFont="1" applyFill="1" applyBorder="1" applyAlignment="1">
      <x:alignment vertical="top" wrapText="1"/>
    </x:xf>
    <x:xf numFmtId="0" fontId="1" fillId="2" borderId="1" xfId="0" applyNumberFormat="1" applyFont="1" applyFill="1" applyBorder="1" applyAlignment="1">
      <x:alignment horizontal="center"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left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horizontal="left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b0177c9ab684616" /><Relationship Type="http://schemas.openxmlformats.org/officeDocument/2006/relationships/theme" Target="/xl/theme/theme1.xml" Id="Rd752c18d5f144399" /><Relationship Type="http://schemas.openxmlformats.org/officeDocument/2006/relationships/sharedStrings" Target="/xl/sharedStrings.xml" Id="Re2c8751d567e4845" /><Relationship Type="http://schemas.openxmlformats.org/officeDocument/2006/relationships/worksheet" Target="/xl/worksheets/sheet1.xml" Id="R229bce1064314553" /><Relationship Type="http://schemas.openxmlformats.org/officeDocument/2006/relationships/worksheet" Target="/xl/worksheets/sheet2.xml" Id="R495c088988244aaa" /></Relationships>
</file>

<file path=xl/tables/table1.xml><?xml version="1.0" encoding="utf-8"?>
<x:table xmlns:x="http://schemas.openxmlformats.org/spreadsheetml/2006/main" id="1" name="InventaireActifs" displayName="InventaireActifs" ref="A1:M13" headerRowCount="1">
  <x:tableColumns count="13">
    <x:tableColumn id="1" name="ID"/>
    <x:tableColumn id="2" name="Nom de l'actif"/>
    <x:tableColumn id="3" name="Type"/>
    <x:tableColumn id="4" name="Description"/>
    <x:tableColumn id="5" name="Propriétaire"/>
    <x:tableColumn id="6" name="Localisation"/>
    <x:tableColumn id="7" name="Criticité (1-4)"/>
    <x:tableColumn id="8" name="Confidentialité"/>
    <x:tableColumn id="9" name="Intégrité"/>
    <x:tableColumn id="10" name="Disponibilité"/>
    <x:tableColumn id="11" name="Données personnelles"/>
    <x:tableColumn id="12" name="Exposition Internet"/>
    <x:tableColumn id="13" name="Remarques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d0748c6a43ca4f25" /></Relationships>
</file>

<file path=xl/worksheets/sheet1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34" hidden="0" customWidth="1"/>
    <x:col min="3" max="3" width="18" hidden="0" customWidth="1"/>
    <x:col min="4" max="4" width="42" hidden="0" customWidth="1"/>
    <x:col min="5" max="5" width="18" hidden="0" customWidth="1"/>
    <x:col min="6" max="6" width="17" hidden="0" customWidth="1"/>
    <x:col min="7" max="7" width="14" hidden="0" customWidth="1"/>
    <x:col min="8" max="8" width="14" hidden="0" customWidth="1"/>
    <x:col min="9" max="9" width="12" hidden="0" customWidth="1"/>
    <x:col min="10" max="10" width="14" hidden="0" customWidth="1"/>
    <x:col min="11" max="11" width="18" hidden="0" customWidth="1"/>
    <x:col min="12" max="12" width="18" hidden="0" customWidth="1"/>
    <x:col min="13" max="13" width="32" hidden="0" customWidth="1"/>
  </x:cols>
  <x:sheetData>
    <x:row r="1">
      <x:c r="A1" s="14" t="str">
        <x:v>ID</x:v>
      </x:c>
      <x:c r="B1" s="14" t="str">
        <x:v>Nom de l'actif</x:v>
      </x:c>
      <x:c r="C1" s="14" t="str">
        <x:v>Type</x:v>
      </x:c>
      <x:c r="D1" s="14" t="str">
        <x:v>Description</x:v>
      </x:c>
      <x:c r="E1" s="14" t="str">
        <x:v>Propriétaire</x:v>
      </x:c>
      <x:c r="F1" s="14" t="str">
        <x:v>Localisation</x:v>
      </x:c>
      <x:c r="G1" s="14" t="str">
        <x:v>Criticité (1-4)</x:v>
      </x:c>
      <x:c r="H1" s="14" t="str">
        <x:v>Confidentialité</x:v>
      </x:c>
      <x:c r="I1" s="14" t="str">
        <x:v>Intégrité</x:v>
      </x:c>
      <x:c r="J1" s="14" t="str">
        <x:v>Disponibilité</x:v>
      </x:c>
      <x:c r="K1" s="14" t="str">
        <x:v>Données personnelles</x:v>
      </x:c>
      <x:c r="L1" s="14" t="str">
        <x:v>Exposition Internet</x:v>
      </x:c>
      <x:c r="M1" s="14" t="str">
        <x:v>Remarques</x:v>
      </x:c>
    </x:row>
    <x:row r="2">
      <x:c r="A2" s="15" t="str">
        <x:v>A01</x:v>
      </x:c>
      <x:c r="B2" s="15" t="str">
        <x:v>Messagerie professionnelle Microsoft 365</x:v>
      </x:c>
      <x:c r="C2" s="15" t="str">
        <x:v>SaaS / logiciel</x:v>
      </x:c>
      <x:c r="D2" s="15" t="str">
        <x:v>Emails, calendriers, échanges internes et externes</x:v>
      </x:c>
      <x:c r="E2" s="15" t="str">
        <x:v>Responsable IT</x:v>
      </x:c>
      <x:c r="F2" s="15" t="str">
        <x:v>Cloud</x:v>
      </x:c>
      <x:c r="G2" s="15" t="n">
        <x:v>4</x:v>
      </x:c>
      <x:c r="H2" s="15" t="n">
        <x:v>4</x:v>
      </x:c>
      <x:c r="I2" s="15" t="n">
        <x:v>3</x:v>
      </x:c>
      <x:c r="J2" s="15" t="n">
        <x:v>4</x:v>
      </x:c>
      <x:c r="K2" s="15" t="str">
        <x:v>Oui</x:v>
      </x:c>
      <x:c r="L2" s="15" t="str">
        <x:v>Oui</x:v>
      </x:c>
      <x:c r="M2" s="15" t="str">
        <x:v>MFA prioritaire</x:v>
      </x:c>
    </x:row>
    <x:row r="3">
      <x:c r="A3" s="15" t="str">
        <x:v>A02</x:v>
      </x:c>
      <x:c r="B3" s="15" t="str">
        <x:v>Serveur de fichiers</x:v>
      </x:c>
      <x:c r="C3" s="15" t="str">
        <x:v>Serveur / données</x:v>
      </x:c>
      <x:c r="D3" s="15" t="str">
        <x:v>Dossiers exploitation, RH, finance et procédures internes</x:v>
      </x:c>
      <x:c r="E3" s="15" t="str">
        <x:v>Responsable IT</x:v>
      </x:c>
      <x:c r="F3" s="15" t="str">
        <x:v>Local</x:v>
      </x:c>
      <x:c r="G3" s="15" t="n">
        <x:v>4</x:v>
      </x:c>
      <x:c r="H3" s="15" t="n">
        <x:v>4</x:v>
      </x:c>
      <x:c r="I3" s="15" t="n">
        <x:v>4</x:v>
      </x:c>
      <x:c r="J3" s="15" t="n">
        <x:v>4</x:v>
      </x:c>
      <x:c r="K3" s="15" t="str">
        <x:v>Oui</x:v>
      </x:c>
      <x:c r="L3" s="15" t="str">
        <x:v>Non</x:v>
      </x:c>
      <x:c r="M3" s="15" t="str">
        <x:v>Actif le plus critique</x:v>
      </x:c>
    </x:row>
    <x:row r="4">
      <x:c r="A4" s="15" t="str">
        <x:v>A03</x:v>
      </x:c>
      <x:c r="B4" s="15" t="str">
        <x:v>Site web public</x:v>
      </x:c>
      <x:c r="C4" s="15" t="str">
        <x:v>Application web</x:v>
      </x:c>
      <x:c r="D4" s="15" t="str">
        <x:v>Présentation de l'aéroport et informations publiques</x:v>
      </x:c>
      <x:c r="E4" s="15" t="str">
        <x:v>Communication</x:v>
      </x:c>
      <x:c r="F4" s="15" t="str">
        <x:v>Hébergeur externe</x:v>
      </x:c>
      <x:c r="G4" s="15" t="n">
        <x:v>3</x:v>
      </x:c>
      <x:c r="H4" s="15" t="n">
        <x:v>2</x:v>
      </x:c>
      <x:c r="I4" s="15" t="n">
        <x:v>3</x:v>
      </x:c>
      <x:c r="J4" s="15" t="n">
        <x:v>3</x:v>
      </x:c>
      <x:c r="K4" s="15" t="str">
        <x:v>Non</x:v>
      </x:c>
      <x:c r="L4" s="15" t="str">
        <x:v>Oui</x:v>
      </x:c>
      <x:c r="M4" s="15" t="str">
        <x:v>Risque d'image en cas de défiguration</x:v>
      </x:c>
    </x:row>
    <x:row r="5">
      <x:c r="A5" s="15" t="str">
        <x:v>A04</x:v>
      </x:c>
      <x:c r="B5" s="15" t="str">
        <x:v>Accès Internet et pare-feu</x:v>
      </x:c>
      <x:c r="C5" s="15" t="str">
        <x:v>Réseau</x:v>
      </x:c>
      <x:c r="D5" s="15" t="str">
        <x:v>Connexion Internet, filtrage et règles firewall</x:v>
      </x:c>
      <x:c r="E5" s="15" t="str">
        <x:v>Responsable IT</x:v>
      </x:c>
      <x:c r="F5" s="15" t="str">
        <x:v>Local</x:v>
      </x:c>
      <x:c r="G5" s="15" t="n">
        <x:v>4</x:v>
      </x:c>
      <x:c r="H5" s="15" t="n">
        <x:v>2</x:v>
      </x:c>
      <x:c r="I5" s="15" t="n">
        <x:v>3</x:v>
      </x:c>
      <x:c r="J5" s="15" t="n">
        <x:v>4</x:v>
      </x:c>
      <x:c r="K5" s="15" t="str">
        <x:v>Non</x:v>
      </x:c>
      <x:c r="L5" s="15" t="str">
        <x:v>Oui</x:v>
      </x:c>
      <x:c r="M5" s="15" t="str">
        <x:v>Point de passage unique</x:v>
      </x:c>
    </x:row>
    <x:row r="6">
      <x:c r="A6" s="15" t="str">
        <x:v>A05</x:v>
      </x:c>
      <x:c r="B6" s="15" t="str">
        <x:v>Annuaire et comptes utilisateurs</x:v>
      </x:c>
      <x:c r="C6" s="15" t="str">
        <x:v>Identité / logiciel</x:v>
      </x:c>
      <x:c r="D6" s="15" t="str">
        <x:v>Comptes, groupes, droits et comptes administrateurs</x:v>
      </x:c>
      <x:c r="E6" s="15" t="str">
        <x:v>Responsable IT</x:v>
      </x:c>
      <x:c r="F6" s="15" t="str">
        <x:v>Cloud + local</x:v>
      </x:c>
      <x:c r="G6" s="15" t="n">
        <x:v>4</x:v>
      </x:c>
      <x:c r="H6" s="15" t="n">
        <x:v>4</x:v>
      </x:c>
      <x:c r="I6" s="15" t="n">
        <x:v>4</x:v>
      </x:c>
      <x:c r="J6" s="15" t="n">
        <x:v>4</x:v>
      </x:c>
      <x:c r="K6" s="15" t="str">
        <x:v>Oui</x:v>
      </x:c>
      <x:c r="L6" s="15" t="str">
        <x:v>Oui</x:v>
      </x:c>
      <x:c r="M6" s="15" t="str">
        <x:v>Comptes admin à séparer</x:v>
      </x:c>
    </x:row>
    <x:row r="7">
      <x:c r="A7" s="15" t="str">
        <x:v>A06</x:v>
      </x:c>
      <x:c r="B7" s="15" t="str">
        <x:v>Postes utilisateurs</x:v>
      </x:c>
      <x:c r="C7" s="15" t="str">
        <x:v>Matériel</x:v>
      </x:c>
      <x:c r="D7" s="15" t="str">
        <x:v>Ordinateurs des employés</x:v>
      </x:c>
      <x:c r="E7" s="15" t="str">
        <x:v>Support IT</x:v>
      </x:c>
      <x:c r="F7" s="15" t="str">
        <x:v>Bureaux</x:v>
      </x:c>
      <x:c r="G7" s="15" t="n">
        <x:v>3</x:v>
      </x:c>
      <x:c r="H7" s="15" t="n">
        <x:v>3</x:v>
      </x:c>
      <x:c r="I7" s="15" t="n">
        <x:v>3</x:v>
      </x:c>
      <x:c r="J7" s="15" t="n">
        <x:v>3</x:v>
      </x:c>
      <x:c r="K7" s="15" t="str">
        <x:v>Oui</x:v>
      </x:c>
      <x:c r="L7" s="15" t="str">
        <x:v>Oui</x:v>
      </x:c>
      <x:c r="M7" s="15" t="str">
        <x:v>Vecteur phishing/malware</x:v>
      </x:c>
    </x:row>
    <x:row r="8">
      <x:c r="A8" s="15" t="str">
        <x:v>A07</x:v>
      </x:c>
      <x:c r="B8" s="15" t="str">
        <x:v>Sauvegardes</x:v>
      </x:c>
      <x:c r="C8" s="15" t="str">
        <x:v>Processus / données</x:v>
      </x:c>
      <x:c r="D8" s="15" t="str">
        <x:v>Copies des données et configurations critiques</x:v>
      </x:c>
      <x:c r="E8" s="15" t="str">
        <x:v>Responsable IT</x:v>
      </x:c>
      <x:c r="F8" s="15" t="str">
        <x:v>Local + cloud</x:v>
      </x:c>
      <x:c r="G8" s="15" t="n">
        <x:v>4</x:v>
      </x:c>
      <x:c r="H8" s="15" t="n">
        <x:v>4</x:v>
      </x:c>
      <x:c r="I8" s="15" t="n">
        <x:v>4</x:v>
      </x:c>
      <x:c r="J8" s="15" t="n">
        <x:v>4</x:v>
      </x:c>
      <x:c r="K8" s="15" t="str">
        <x:v>Oui</x:v>
      </x:c>
      <x:c r="L8" s="15" t="str">
        <x:v>Non</x:v>
      </x:c>
      <x:c r="M8" s="15" t="str">
        <x:v>Doivent être testées</x:v>
      </x:c>
    </x:row>
    <x:row r="9">
      <x:c r="A9" s="15" t="str">
        <x:v>A08</x:v>
      </x:c>
      <x:c r="B9" s="15" t="str">
        <x:v>Données RH et finance</x:v>
      </x:c>
      <x:c r="C9" s="15" t="str">
        <x:v>Données</x:v>
      </x:c>
      <x:c r="D9" s="15" t="str">
        <x:v>Contrats, fiches salariés, paie, factures</x:v>
      </x:c>
      <x:c r="E9" s="15" t="str">
        <x:v>Responsable RH/Finance</x:v>
      </x:c>
      <x:c r="F9" s="15" t="str">
        <x:v>Serveur fichiers</x:v>
      </x:c>
      <x:c r="G9" s="15" t="n">
        <x:v>4</x:v>
      </x:c>
      <x:c r="H9" s="15" t="n">
        <x:v>4</x:v>
      </x:c>
      <x:c r="I9" s="15" t="n">
        <x:v>4</x:v>
      </x:c>
      <x:c r="J9" s="15" t="n">
        <x:v>3</x:v>
      </x:c>
      <x:c r="K9" s="15" t="str">
        <x:v>Oui</x:v>
      </x:c>
      <x:c r="L9" s="15" t="str">
        <x:v>Non</x:v>
      </x:c>
      <x:c r="M9" s="15" t="str">
        <x:v>Droits stricts nécessaires</x:v>
      </x:c>
    </x:row>
    <x:row r="10">
      <x:c r="A10" s="15" t="str">
        <x:v>A09</x:v>
      </x:c>
      <x:c r="B10" s="15" t="str">
        <x:v>Prestataire IT</x:v>
      </x:c>
      <x:c r="C10" s="15" t="str">
        <x:v>Tiers / humain</x:v>
      </x:c>
      <x:c r="D10" s="15" t="str">
        <x:v>Administration et support informatique externalisés</x:v>
      </x:c>
      <x:c r="E10" s="15" t="str">
        <x:v>Direction</x:v>
      </x:c>
      <x:c r="F10" s="15" t="str">
        <x:v>Externe</x:v>
      </x:c>
      <x:c r="G10" s="15" t="n">
        <x:v>3</x:v>
      </x:c>
      <x:c r="H10" s="15" t="n">
        <x:v>3</x:v>
      </x:c>
      <x:c r="I10" s="15" t="n">
        <x:v>3</x:v>
      </x:c>
      <x:c r="J10" s="15" t="n">
        <x:v>3</x:v>
      </x:c>
      <x:c r="K10" s="15" t="str">
        <x:v>Oui</x:v>
      </x:c>
      <x:c r="L10" s="15" t="str">
        <x:v>Oui</x:v>
      </x:c>
      <x:c r="M10" s="15" t="str">
        <x:v>Contrat et clauses sécurité</x:v>
      </x:c>
    </x:row>
    <x:row r="11">
      <x:c r="A11" s="15" t="str">
        <x:v>A10</x:v>
      </x:c>
      <x:c r="B11" s="15" t="str">
        <x:v>Responsables métiers</x:v>
      </x:c>
      <x:c r="C11" s="15" t="str">
        <x:v>Humain</x:v>
      </x:c>
      <x:c r="D11" s="15" t="str">
        <x:v>Managers validant les accès et priorités</x:v>
      </x:c>
      <x:c r="E11" s="15" t="str">
        <x:v>Direction</x:v>
      </x:c>
      <x:c r="F11" s="15" t="str">
        <x:v>Interne</x:v>
      </x:c>
      <x:c r="G11" s="15" t="n">
        <x:v>3</x:v>
      </x:c>
      <x:c r="H11" s="15" t="n">
        <x:v>2</x:v>
      </x:c>
      <x:c r="I11" s="15" t="n">
        <x:v>3</x:v>
      </x:c>
      <x:c r="J11" s="15" t="n">
        <x:v>3</x:v>
      </x:c>
      <x:c r="K11" s="15" t="str">
        <x:v>Oui</x:v>
      </x:c>
      <x:c r="L11" s="15" t="str">
        <x:v>Non</x:v>
      </x:c>
      <x:c r="M11" s="15" t="str">
        <x:v>Rôle clé pour les revues</x:v>
      </x:c>
    </x:row>
    <x:row r="12">
      <x:c r="A12" s="15" t="str">
        <x:v>A11</x:v>
      </x:c>
      <x:c r="B12" s="15" t="str">
        <x:v>Gestionnaire de mots de passe</x:v>
      </x:c>
      <x:c r="C12" s="15" t="str">
        <x:v>Logiciel</x:v>
      </x:c>
      <x:c r="D12" s="15" t="str">
        <x:v>Stockage sécurisé des mots de passe partagés autorisés</x:v>
      </x:c>
      <x:c r="E12" s="15" t="str">
        <x:v>Responsable IT</x:v>
      </x:c>
      <x:c r="F12" s="15" t="str">
        <x:v>Cloud</x:v>
      </x:c>
      <x:c r="G12" s="15" t="n">
        <x:v>3</x:v>
      </x:c>
      <x:c r="H12" s="15" t="n">
        <x:v>4</x:v>
      </x:c>
      <x:c r="I12" s="15" t="n">
        <x:v>3</x:v>
      </x:c>
      <x:c r="J12" s="15" t="n">
        <x:v>3</x:v>
      </x:c>
      <x:c r="K12" s="15" t="str">
        <x:v>Oui</x:v>
      </x:c>
      <x:c r="L12" s="15" t="str">
        <x:v>Oui</x:v>
      </x:c>
      <x:c r="M12" s="15" t="str">
        <x:v>A généraliser</x:v>
      </x:c>
    </x:row>
    <x:row r="13">
      <x:c r="A13" s="15" t="str">
        <x:v>A12</x:v>
      </x:c>
      <x:c r="B13" s="15" t="str">
        <x:v>Antivirus / EDR</x:v>
      </x:c>
      <x:c r="C13" s="15" t="str">
        <x:v>Logiciel sécurité</x:v>
      </x:c>
      <x:c r="D13" s="15" t="str">
        <x:v>Protection des postes et détection malware</x:v>
      </x:c>
      <x:c r="E13" s="15" t="str">
        <x:v>Responsable IT</x:v>
      </x:c>
      <x:c r="F13" s="15" t="str">
        <x:v>Postes + console</x:v>
      </x:c>
      <x:c r="G13" s="15" t="n">
        <x:v>4</x:v>
      </x:c>
      <x:c r="H13" s="15" t="n">
        <x:v>3</x:v>
      </x:c>
      <x:c r="I13" s="15" t="n">
        <x:v>4</x:v>
      </x:c>
      <x:c r="J13" s="15" t="n">
        <x:v>4</x:v>
      </x:c>
      <x:c r="K13" s="15" t="str">
        <x:v>Non</x:v>
      </x:c>
      <x:c r="L13" s="15" t="str">
        <x:v>Oui</x:v>
      </x:c>
      <x:c r="M13" s="15" t="str">
        <x:v>Rapports à conserver</x:v>
      </x:c>
    </x:row>
  </x:sheetData>
  <x:dataValidations count="3">
    <x:dataValidation type="list" sqref="C2:C100">
      <x:formula1>"SaaS / logiciel,Serveur / données,Application web,Réseau,Identité / logiciel,Matériel,Processus / données,Données,Tiers / humain,Humain,Logiciel,Logiciel sécurité"</x:formula1>
    </x:dataValidation>
    <x:dataValidation type="list" sqref="G2:J100">
      <x:formula1>"1,2,3,4"</x:formula1>
    </x:dataValidation>
    <x:dataValidation type="list" sqref="K2:L100">
      <x:formula1>"Oui,Non"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d0748c6a43ca4f25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35" hidden="0" customWidth="1"/>
    <x:col min="2" max="2" width="35" hidden="0" customWidth="1"/>
  </x:cols>
  <x:sheetData>
    <x:row r="1">
      <x:c r="A1" s="20" t="str">
        <x:v>Synthèse - Inventaire des actifs</x:v>
      </x:c>
    </x:row>
    <x:row r="3">
      <x:c r="A3" s="25" t="str">
        <x:v>Nombre d'actifs</x:v>
      </x:c>
      <x:c r="B3" t="n">
        <x:f>COUNTA(Inventaire!A2:A13)</x:f>
        <x:v>12</x:v>
      </x:c>
    </x:row>
    <x:row r="4">
      <x:c r="A4" s="25" t="str">
        <x:v>Actifs criticité 4</x:v>
      </x:c>
      <x:c r="B4" t="n">
        <x:f>COUNTIF(Inventaire!G2:G13,4)</x:f>
        <x:v>7</x:v>
      </x:c>
    </x:row>
    <x:row r="5">
      <x:c r="A5" s="25" t="str">
        <x:v>Actifs exposés Internet</x:v>
      </x:c>
      <x:c r="B5" t="n">
        <x:f>COUNTIF(Inventaire!L2:L13,"Oui")</x:f>
        <x:v>8</x:v>
      </x:c>
    </x:row>
    <x:row r="6">
      <x:c r="A6" s="25" t="str">
        <x:v>Actifs avec données personnelles</x:v>
      </x:c>
      <x:c r="B6" t="n">
        <x:f>COUNTIF(Inventaire!K2:K13,"Oui")</x:f>
        <x:v>9</x:v>
      </x:c>
    </x:row>
    <x:row r="7">
      <x:c r="A7" s="25" t="str">
        <x:v>Actif le plus critique</x:v>
      </x:c>
      <x:c r="B7" t="str">
        <x:v>Serveur de fichiers / Annuaire / Sauvegardes</x:v>
      </x:c>
    </x:row>
    <x:row r="8">
      <x:c r="A8" s="25" t="str">
        <x:v>Axe prioritaire</x:v>
      </x:c>
      <x:c r="B8" t="str">
        <x:v>MFA + sauvegardes + revue des droits</x:v>
      </x:c>
    </x:row>
  </x:sheetData>
  <x:mergeCells>
    <x:mergeCell ref="A1:D1"/>
  </x:mergeCells>
  <x:pageMargins left="0.7" right="0.7" top="0.75" bottom="0.75" header="0.3" footer="0.3"/>
</x:worksheet>
</file>