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3a17f96d1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actions" sheetId="1" r:id="R0e622d1094ce41dd"/>
    <x:sheet xmlns:r="http://schemas.openxmlformats.org/officeDocument/2006/relationships" name="Mapping 3CF" sheetId="2" r:id="R4d1f21ae945d43ac"/>
    <x:sheet xmlns:r="http://schemas.openxmlformats.org/officeDocument/2006/relationships" name="Synthèse" sheetId="3" r:id="Ra127d4bf1320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a093c4e8e44d8" /><Relationship Type="http://schemas.openxmlformats.org/officeDocument/2006/relationships/theme" Target="/xl/theme/theme1.xml" Id="R664964ce9b544c64" /><Relationship Type="http://schemas.openxmlformats.org/officeDocument/2006/relationships/sharedStrings" Target="/xl/sharedStrings.xml" Id="Rcbc0bf914c294f71" /><Relationship Type="http://schemas.openxmlformats.org/officeDocument/2006/relationships/worksheet" Target="/xl/worksheets/sheet1.xml" Id="R0e622d1094ce41dd" /><Relationship Type="http://schemas.openxmlformats.org/officeDocument/2006/relationships/worksheet" Target="/xl/worksheets/sheet2.xml" Id="R4d1f21ae945d43ac" /><Relationship Type="http://schemas.openxmlformats.org/officeDocument/2006/relationships/worksheet" Target="/xl/worksheets/sheet3.xml" Id="Ra127d4bf13204864" /></Relationships>
</file>

<file path=xl/tables/table1.xml><?xml version="1.0" encoding="utf-8"?>
<x:table xmlns:x="http://schemas.openxmlformats.org/spreadsheetml/2006/main" id="1" name="PlanActions" displayName="PlanActions" ref="A1:J13" headerRowCount="1">
  <x:tableColumns count="10">
    <x:tableColumn id="1" name="ID action"/>
    <x:tableColumn id="2" name="Mesure"/>
    <x:tableColumn id="3" name="Risque lié"/>
    <x:tableColumn id="4" name="Responsable"/>
    <x:tableColumn id="5" name="Priorité"/>
    <x:tableColumn id="6" name="Échéance"/>
    <x:tableColumn id="7" name="Statut"/>
    <x:tableColumn id="8" name="Preuve attendue"/>
    <x:tableColumn id="9" name="Indicateur de suivi"/>
    <x:tableColumn id="10" name="Commentai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611220ab194fa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14" hidden="0" customWidth="1"/>
    <x:col min="4" max="4" width="20" hidden="0" customWidth="1"/>
    <x:col min="5" max="5" width="10" hidden="0" customWidth="1"/>
    <x:col min="6" max="6" width="14" hidden="0" customWidth="1"/>
    <x:col min="7" max="7" width="14" hidden="0" customWidth="1"/>
    <x:col min="8" max="8" width="34" hidden="0" customWidth="1"/>
    <x:col min="9" max="9" width="24" hidden="0" customWidth="1"/>
    <x:col min="10" max="10" width="32" hidden="0" customWidth="1"/>
  </x:cols>
  <x:sheetData>
    <x:row r="1">
      <x:c r="A1" s="14" t="str">
        <x:v>ID action</x:v>
      </x:c>
      <x:c r="B1" s="14" t="str">
        <x:v>Mesure</x:v>
      </x:c>
      <x:c r="C1" s="14" t="str">
        <x:v>Risque lié</x:v>
      </x:c>
      <x:c r="D1" s="14" t="str">
        <x:v>Responsable</x:v>
      </x:c>
      <x:c r="E1" s="14" t="str">
        <x:v>Priorité</x:v>
      </x:c>
      <x:c r="F1" s="14" t="str">
        <x:v>Échéance</x:v>
      </x:c>
      <x:c r="G1" s="14" t="str">
        <x:v>Statut</x:v>
      </x:c>
      <x:c r="H1" s="14" t="str">
        <x:v>Preuve attendue</x:v>
      </x:c>
      <x:c r="I1" s="14" t="str">
        <x:v>Indicateur de suivi</x:v>
      </x:c>
      <x:c r="J1" s="14" t="str">
        <x:v>Commentaire</x:v>
      </x:c>
    </x:row>
    <x:row r="2">
      <x:c r="A2" s="15" t="str">
        <x:v>PA01</x:v>
      </x:c>
      <x:c r="B2" s="15" t="str">
        <x:v>Activer la MFA pour les administrateurs puis tous les utilisateurs</x:v>
      </x:c>
      <x:c r="C2" s="15" t="str">
        <x:v>R02/R06</x:v>
      </x:c>
      <x:c r="D2" s="15" t="str">
        <x:v>Responsable IT</x:v>
      </x:c>
      <x:c r="E2" s="15" t="str">
        <x:v>P1</x:v>
      </x:c>
      <x:c r="F2" s="18" t="n">
        <x:v>46218</x:v>
      </x:c>
      <x:c r="G2" s="15" t="str">
        <x:v>En cours</x:v>
      </x:c>
      <x:c r="H2" s="15" t="str">
        <x:v>Capture configuration MFA</x:v>
      </x:c>
      <x:c r="I2" s="15" t="str">
        <x:v>% comptes avec MFA</x:v>
      </x:c>
      <x:c r="J2" s="15" t="str">
        <x:v>Priorité très forte</x:v>
      </x:c>
    </x:row>
    <x:row r="3">
      <x:c r="A3" s="15" t="str">
        <x:v>PA02</x:v>
      </x:c>
      <x:c r="B3" s="15" t="str">
        <x:v>Déployer ou formaliser le gestionnaire de mots de passe</x:v>
      </x:c>
      <x:c r="C3" s="15" t="str">
        <x:v>R02/R06</x:v>
      </x:c>
      <x:c r="D3" s="15" t="str">
        <x:v>Responsable IT</x:v>
      </x:c>
      <x:c r="E3" s="15" t="str">
        <x:v>P1</x:v>
      </x:c>
      <x:c r="F3" s="18" t="n">
        <x:v>46233</x:v>
      </x:c>
      <x:c r="G3" s="15" t="str">
        <x:v>A traiter</x:v>
      </x:c>
      <x:c r="H3" s="15" t="str">
        <x:v>Procédure + capture outil</x:v>
      </x:c>
      <x:c r="I3" s="15" t="str">
        <x:v>Nombre utilisateurs formés</x:v>
      </x:c>
      <x:c r="J3" s="15" t="str">
        <x:v>Eviter mots de passe partagés</x:v>
      </x:c>
    </x:row>
    <x:row r="4">
      <x:c r="A4" s="15" t="str">
        <x:v>PA03</x:v>
      </x:c>
      <x:c r="B4" s="15" t="str">
        <x:v>Mettre en place une sauvegarde 3-2-1 et un test de restauration</x:v>
      </x:c>
      <x:c r="C4" s="15" t="str">
        <x:v>R01/R08</x:v>
      </x:c>
      <x:c r="D4" s="15" t="str">
        <x:v>Responsable IT</x:v>
      </x:c>
      <x:c r="E4" s="15" t="str">
        <x:v>P1</x:v>
      </x:c>
      <x:c r="F4" s="18" t="n">
        <x:v>46249</x:v>
      </x:c>
      <x:c r="G4" s="15" t="str">
        <x:v>A traiter</x:v>
      </x:c>
      <x:c r="H4" s="15" t="str">
        <x:v>Rapport sauvegarde + restauration</x:v>
      </x:c>
      <x:c r="I4" s="15" t="str">
        <x:v>Dernier test réussi</x:v>
      </x:c>
      <x:c r="J4" s="15" t="str">
        <x:v>Action essentielle ransomware</x:v>
      </x:c>
    </x:row>
    <x:row r="5">
      <x:c r="A5" s="15" t="str">
        <x:v>PA04</x:v>
      </x:c>
      <x:c r="B5" s="15" t="str">
        <x:v>Réaliser une revue trimestrielle des droits sur dossiers sensibles</x:v>
      </x:c>
      <x:c r="C5" s="15" t="str">
        <x:v>R03</x:v>
      </x:c>
      <x:c r="D5" s="15" t="str">
        <x:v>RH/Finance</x:v>
      </x:c>
      <x:c r="E5" s="15" t="str">
        <x:v>P2</x:v>
      </x:c>
      <x:c r="F5" s="18" t="n">
        <x:v>46265</x:v>
      </x:c>
      <x:c r="G5" s="15" t="str">
        <x:v>A traiter</x:v>
      </x:c>
      <x:c r="H5" s="15" t="str">
        <x:v>Compte rendu de revue</x:v>
      </x:c>
      <x:c r="I5" s="15" t="str">
        <x:v>% droits validés</x:v>
      </x:c>
      <x:c r="J5" s="15" t="str">
        <x:v>Commencer par RH et finance</x:v>
      </x:c>
    </x:row>
    <x:row r="6">
      <x:c r="A6" s="15" t="str">
        <x:v>PA05</x:v>
      </x:c>
      <x:c r="B6" s="15" t="str">
        <x:v>Créer une fiche réflexe incident et procédure ransomware</x:v>
      </x:c>
      <x:c r="C6" s="15" t="str">
        <x:v>R01/R10</x:v>
      </x:c>
      <x:c r="D6" s="15" t="str">
        <x:v>Responsable sécurité</x:v>
      </x:c>
      <x:c r="E6" s="15" t="str">
        <x:v>P1</x:v>
      </x:c>
      <x:c r="F6" s="18" t="n">
        <x:v>46223</x:v>
      </x:c>
      <x:c r="G6" s="15" t="str">
        <x:v>Fait</x:v>
      </x:c>
      <x:c r="H6" s="15" t="str">
        <x:v>Procédure incident</x:v>
      </x:c>
      <x:c r="I6" s="15" t="str">
        <x:v>Temps de qualification</x:v>
      </x:c>
      <x:c r="J6" s="15" t="str">
        <x:v>Incluse dans le repo</x:v>
      </x:c>
    </x:row>
    <x:row r="7">
      <x:c r="A7" s="15" t="str">
        <x:v>PA06</x:v>
      </x:c>
      <x:c r="B7" s="15" t="str">
        <x:v>Organiser une sensibilisation phishing pour les utilisateurs</x:v>
      </x:c>
      <x:c r="C7" s="15" t="str">
        <x:v>R02/R09</x:v>
      </x:c>
      <x:c r="D7" s="15" t="str">
        <x:v>Responsable sécurité</x:v>
      </x:c>
      <x:c r="E7" s="15" t="str">
        <x:v>P2</x:v>
      </x:c>
      <x:c r="F7" s="18" t="n">
        <x:v>46280</x:v>
      </x:c>
      <x:c r="G7" s="15" t="str">
        <x:v>A traiter</x:v>
      </x:c>
      <x:c r="H7" s="15" t="str">
        <x:v>Support + feuille d'émargement</x:v>
      </x:c>
      <x:c r="I7" s="15" t="str">
        <x:v>% utilisateurs sensibilisés</x:v>
      </x:c>
      <x:c r="J7" s="15" t="str">
        <x:v>Version PDF fournie</x:v>
      </x:c>
    </x:row>
    <x:row r="8">
      <x:c r="A8" s="15" t="str">
        <x:v>PA07</x:v>
      </x:c>
      <x:c r="B8" s="15" t="str">
        <x:v>Formaliser le patch management du site web</x:v>
      </x:c>
      <x:c r="C8" s="15" t="str">
        <x:v>R05</x:v>
      </x:c>
      <x:c r="D8" s="15" t="str">
        <x:v>Communication + prestataire</x:v>
      </x:c>
      <x:c r="E8" s="15" t="str">
        <x:v>P2</x:v>
      </x:c>
      <x:c r="F8" s="18" t="n">
        <x:v>46244</x:v>
      </x:c>
      <x:c r="G8" s="15" t="str">
        <x:v>A traiter</x:v>
      </x:c>
      <x:c r="H8" s="15" t="str">
        <x:v>Journal de mises à jour</x:v>
      </x:c>
      <x:c r="I8" s="15" t="str">
        <x:v>Délai correction critique</x:v>
      </x:c>
      <x:c r="J8" s="15" t="str">
        <x:v>Inclure CMS/plugins</x:v>
      </x:c>
    </x:row>
    <x:row r="9">
      <x:c r="A9" s="15" t="str">
        <x:v>PA08</x:v>
      </x:c>
      <x:c r="B9" s="15" t="str">
        <x:v>Revoir les clauses sécurité du prestataire IT</x:v>
      </x:c>
      <x:c r="C9" s="15" t="str">
        <x:v>R07</x:v>
      </x:c>
      <x:c r="D9" s="15" t="str">
        <x:v>Direction</x:v>
      </x:c>
      <x:c r="E9" s="15" t="str">
        <x:v>P3</x:v>
      </x:c>
      <x:c r="F9" s="18" t="n">
        <x:v>46296</x:v>
      </x:c>
      <x:c r="G9" s="15" t="str">
        <x:v>A traiter</x:v>
      </x:c>
      <x:c r="H9" s="15" t="str">
        <x:v>Contrat ou avenant</x:v>
      </x:c>
      <x:c r="I9" s="15" t="str">
        <x:v>Clauses validées</x:v>
      </x:c>
      <x:c r="J9" s="15" t="str">
        <x:v>Comptes nominatifs demandés</x:v>
      </x:c>
    </x:row>
    <x:row r="10">
      <x:c r="A10" s="15" t="str">
        <x:v>PA09</x:v>
      </x:c>
      <x:c r="B10" s="15" t="str">
        <x:v>Activer les journaux M365, pare-feu et comptes administrateurs</x:v>
      </x:c>
      <x:c r="C10" s="15" t="str">
        <x:v>R10</x:v>
      </x:c>
      <x:c r="D10" s="15" t="str">
        <x:v>Responsable IT</x:v>
      </x:c>
      <x:c r="E10" s="15" t="str">
        <x:v>P2</x:v>
      </x:c>
      <x:c r="F10" s="18" t="n">
        <x:v>46266</x:v>
      </x:c>
      <x:c r="G10" s="15" t="str">
        <x:v>A traiter</x:v>
      </x:c>
      <x:c r="H10" s="15" t="str">
        <x:v>Export configuration logs</x:v>
      </x:c>
      <x:c r="I10" s="15" t="str">
        <x:v>Durée de rétention</x:v>
      </x:c>
      <x:c r="J10" s="15" t="str">
        <x:v>Conserver preuves audit</x:v>
      </x:c>
    </x:row>
    <x:row r="11">
      <x:c r="A11" s="15" t="str">
        <x:v>PA10</x:v>
      </x:c>
      <x:c r="B11" s="15" t="str">
        <x:v>Mettre à jour l'inventaire des actifs tous les trimestres</x:v>
      </x:c>
      <x:c r="C11" s="15" t="str">
        <x:v>Tous</x:v>
      </x:c>
      <x:c r="D11" s="15" t="str">
        <x:v>Responsable sécurité</x:v>
      </x:c>
      <x:c r="E11" s="15" t="str">
        <x:v>P3</x:v>
      </x:c>
      <x:c r="F11" s="18" t="n">
        <x:v>46295</x:v>
      </x:c>
      <x:c r="G11" s="15" t="str">
        <x:v>A traiter</x:v>
      </x:c>
      <x:c r="H11" s="15" t="str">
        <x:v>Inventaire daté</x:v>
      </x:c>
      <x:c r="I11" s="15" t="str">
        <x:v>% actifs avec propriétaire</x:v>
      </x:c>
      <x:c r="J11" s="15" t="str">
        <x:v>Processus simple</x:v>
      </x:c>
    </x:row>
    <x:row r="12">
      <x:c r="A12" s="15" t="str">
        <x:v>PA11</x:v>
      </x:c>
      <x:c r="B12" s="15" t="str">
        <x:v>Prévoir un accès Internet de secours</x:v>
      </x:c>
      <x:c r="C12" s="15" t="str">
        <x:v>R04</x:v>
      </x:c>
      <x:c r="D12" s="15" t="str">
        <x:v>Responsable IT</x:v>
      </x:c>
      <x:c r="E12" s="15" t="str">
        <x:v>P3</x:v>
      </x:c>
      <x:c r="F12" s="18" t="n">
        <x:v>46327</x:v>
      </x:c>
      <x:c r="G12" s="15" t="str">
        <x:v>A traiter</x:v>
      </x:c>
      <x:c r="H12" s="15" t="str">
        <x:v>Test bascule ou devis</x:v>
      </x:c>
      <x:c r="I12" s="15" t="str">
        <x:v>Temps de reprise</x:v>
      </x:c>
      <x:c r="J12" s="15" t="str">
        <x:v>Option 4G/5G</x:v>
      </x:c>
    </x:row>
    <x:row r="13">
      <x:c r="A13" s="15" t="str">
        <x:v>PA12</x:v>
      </x:c>
      <x:c r="B13" s="15" t="str">
        <x:v>Séparer les comptes administrateurs des comptes bureautiques</x:v>
      </x:c>
      <x:c r="C13" s="15" t="str">
        <x:v>R06</x:v>
      </x:c>
      <x:c r="D13" s="15" t="str">
        <x:v>Responsable IT</x:v>
      </x:c>
      <x:c r="E13" s="15" t="str">
        <x:v>P1</x:v>
      </x:c>
      <x:c r="F13" s="18" t="n">
        <x:v>46234</x:v>
      </x:c>
      <x:c r="G13" s="15" t="str">
        <x:v>A traiter</x:v>
      </x:c>
      <x:c r="H13" s="15" t="str">
        <x:v>Liste comptes admin</x:v>
      </x:c>
      <x:c r="I13" s="15" t="str">
        <x:v>Nombre comptes séparés</x:v>
      </x:c>
      <x:c r="J13" s="15" t="str">
        <x:v>Réduit le risque d'escalade</x:v>
      </x:c>
    </x:row>
  </x:sheetData>
  <x:dataValidations count="2">
    <x:dataValidation type="list" sqref="E2:E100">
      <x:formula1>"P1,P2,P3"</x:formula1>
    </x:dataValidation>
    <x:dataValidation type="list" sqref="G2:G100">
      <x:formula1>"A traiter,En cours,Fait,Abandonné"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11220ab194f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10" t="str">
        <x:v>Contrôle 3CF</x:v>
      </x:c>
      <x:c r="B1" s="10" t="str">
        <x:v>Objectif</x:v>
      </x:c>
      <x:c r="C1" s="10" t="str">
        <x:v>Actions liées</x:v>
      </x:c>
      <x:c r="D1" s="10" t="str">
        <x:v>Preuves attendues</x:v>
      </x:c>
      <x:c r="E1" s="10" t="str">
        <x:v>Statut cible</x:v>
      </x:c>
    </x:row>
    <x:row r="2">
      <x:c r="A2" s="11" t="str">
        <x:v>Contrôle des accès</x:v>
      </x:c>
      <x:c r="B2" s="11" t="str">
        <x:v>Réduire le risque de compromission et d'accès non autorisé</x:v>
      </x:c>
      <x:c r="C2" s="11" t="str">
        <x:v>PA01, PA02, PA04, PA12</x:v>
      </x:c>
      <x:c r="D2" s="11" t="str">
        <x:v>MFA, revue droits, liste comptes admin</x:v>
      </x:c>
      <x:c r="E2" s="11" t="str">
        <x:v>Suivi mensuel</x:v>
      </x:c>
    </x:row>
    <x:row r="3">
      <x:c r="A3" s="11" t="str">
        <x:v>Continuité et sauvegardes</x:v>
      </x:c>
      <x:c r="B3" s="11" t="str">
        <x:v>Permettre la reprise après panne ou ransomware</x:v>
      </x:c>
      <x:c r="C3" s="11" t="str">
        <x:v>PA03, PA11</x:v>
      </x:c>
      <x:c r="D3" s="11" t="str">
        <x:v>Test restauration, sauvegarde configuration</x:v>
      </x:c>
      <x:c r="E3" s="11" t="str">
        <x:v>Test trimestriel</x:v>
      </x:c>
    </x:row>
    <x:row r="4">
      <x:c r="A4" s="11" t="str">
        <x:v>Conduite face aux incidents</x:v>
      </x:c>
      <x:c r="B4" s="11" t="str">
        <x:v>Détecter, qualifier, escalader et améliorer</x:v>
      </x:c>
      <x:c r="C4" s="11" t="str">
        <x:v>PA05, PA06, PA09</x:v>
      </x:c>
      <x:c r="D4" s="11" t="str">
        <x:v>Procédure incident, support sensibilisation, logs</x:v>
      </x:c>
      <x:c r="E4" s="11" t="str">
        <x:v>Revue après incident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22" t="str">
        <x:v>Synthèse - Plan d'actions sécurité</x:v>
      </x:c>
    </x:row>
    <x:row r="3">
      <x:c r="A3" s="27" t="str">
        <x:v>Nombre d'actions</x:v>
      </x:c>
      <x:c r="B3" t="n">
        <x:f>COUNTA('Plan actions'!A2:A13)</x:f>
        <x:v>12</x:v>
      </x:c>
    </x:row>
    <x:row r="4">
      <x:c r="A4" s="27" t="str">
        <x:v>Actions P1</x:v>
      </x:c>
      <x:c r="B4" t="n">
        <x:f>COUNTIF('Plan actions'!E2:E13,"P1")</x:f>
        <x:v>5</x:v>
      </x:c>
    </x:row>
    <x:row r="5">
      <x:c r="A5" s="27" t="str">
        <x:v>Actions en cours</x:v>
      </x:c>
      <x:c r="B5" t="n">
        <x:f>COUNTIF('Plan actions'!G2:G13,"En cours")</x:f>
        <x:v>1</x:v>
      </x:c>
    </x:row>
    <x:row r="6">
      <x:c r="A6" s="27" t="str">
        <x:v>Actions faites</x:v>
      </x:c>
      <x:c r="B6" t="n">
        <x:f>COUNTIF('Plan actions'!G2:G13,"Fait")</x:f>
        <x:v>1</x:v>
      </x:c>
    </x:row>
    <x:row r="7">
      <x:c r="A7" s="27" t="str">
        <x:v>Actions à traiter</x:v>
      </x:c>
      <x:c r="B7" t="n">
        <x:f>COUNTIF('Plan actions'!G2:G13,"A traiter")</x:f>
        <x:v>10</x:v>
      </x:c>
    </x:row>
    <x:row r="8">
      <x:c r="A8" s="27" t="str">
        <x:v>Première priorité</x:v>
      </x:c>
      <x:c r="B8" t="str">
        <x:v>MFA + comptes administrateurs séparés</x:v>
      </x:c>
    </x:row>
    <x:row r="9">
      <x:c r="A9" s="27" t="str">
        <x:v>Deuxième priorité</x:v>
      </x:c>
      <x:c r="B9" t="str">
        <x:v>Sauvegardes testées</x:v>
      </x:c>
    </x:row>
    <x:row r="10">
      <x:c r="A10" s="27" t="str">
        <x:v>Troisième priorité</x:v>
      </x:c>
      <x:c r="B10" t="str">
        <x:v>Revue droits + sensibilisation</x:v>
      </x:c>
    </x:row>
  </x:sheetData>
  <x:mergeCells>
    <x:mergeCell ref="A1:D1"/>
  </x:mergeCells>
  <x:pageMargins left="0.7" right="0.7" top="0.75" bottom="0.75" header="0.3" footer="0.3"/>
</x:worksheet>
</file>