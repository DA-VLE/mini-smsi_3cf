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642a2be24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e risques" sheetId="1" r:id="R09c963fb59be4505"/>
    <x:sheet xmlns:r="http://schemas.openxmlformats.org/officeDocument/2006/relationships" name="Matrice" sheetId="2" r:id="R16295a3d4bb14113"/>
    <x:sheet xmlns:r="http://schemas.openxmlformats.org/officeDocument/2006/relationships" name="Synthèse" sheetId="3" r:id="Rdcc339da95c5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8dc34815448ff" /><Relationship Type="http://schemas.openxmlformats.org/officeDocument/2006/relationships/theme" Target="/xl/theme/theme1.xml" Id="Rbd3fc9f1c0d34a83" /><Relationship Type="http://schemas.openxmlformats.org/officeDocument/2006/relationships/sharedStrings" Target="/xl/sharedStrings.xml" Id="Rf32e2a79e60b47b3" /><Relationship Type="http://schemas.openxmlformats.org/officeDocument/2006/relationships/worksheet" Target="/xl/worksheets/sheet1.xml" Id="R09c963fb59be4505" /><Relationship Type="http://schemas.openxmlformats.org/officeDocument/2006/relationships/worksheet" Target="/xl/worksheets/sheet2.xml" Id="R16295a3d4bb14113" /><Relationship Type="http://schemas.openxmlformats.org/officeDocument/2006/relationships/worksheet" Target="/xl/worksheets/sheet3.xml" Id="Rdcc339da95c54875" /></Relationships>
</file>

<file path=xl/tables/table1.xml><?xml version="1.0" encoding="utf-8"?>
<x:table xmlns:x="http://schemas.openxmlformats.org/spreadsheetml/2006/main" id="1" name="RegistreRisques" displayName="RegistreRisques" ref="A1:T11" headerRowCount="1">
  <x:tableColumns count="20">
    <x:tableColumn id="1" name="ID risque"/>
    <x:tableColumn id="2" name="Actif concerné"/>
    <x:tableColumn id="3" name="Scénario de risque"/>
    <x:tableColumn id="4" name="Menace"/>
    <x:tableColumn id="5" name="Vulnérabilité"/>
    <x:tableColumn id="6" name="C/I/D touchés"/>
    <x:tableColumn id="7" name="Probabilité (1-4)"/>
    <x:tableColumn id="8" name="Impact (1-4)"/>
    <x:tableColumn id="9" name="Risque brut"/>
    <x:tableColumn id="10" name="Niveau brut"/>
    <x:tableColumn id="11" name="Mesures existantes"/>
    <x:tableColumn id="12" name="Traitement choisi"/>
    <x:tableColumn id="13" name="Mesure cible"/>
    <x:tableColumn id="14" name="Responsable"/>
    <x:tableColumn id="15" name="Probabilité résiduelle"/>
    <x:tableColumn id="16" name="Impact résiduel"/>
    <x:tableColumn id="17" name="Risque résiduel"/>
    <x:tableColumn id="18" name="Niveau résiduel"/>
    <x:tableColumn id="19" name="Preuve attendue"/>
    <x:tableColumn id="20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2bdf02811f4bf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20" hidden="0" customWidth="1"/>
    <x:col min="5" max="5" width="35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28" hidden="0" customWidth="1"/>
    <x:col min="12" max="12" width="18" hidden="0" customWidth="1"/>
    <x:col min="13" max="13" width="42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6" hidden="0" customWidth="1"/>
    <x:col min="19" max="19" width="32" hidden="0" customWidth="1"/>
    <x:col min="20" max="20" width="14" hidden="0" customWidth="1"/>
  </x:cols>
  <x:sheetData>
    <x:row r="1">
      <x:c r="A1" s="14" t="str">
        <x:v>ID risque</x:v>
      </x:c>
      <x:c r="B1" s="14" t="str">
        <x:v>Actif concerné</x:v>
      </x:c>
      <x:c r="C1" s="14" t="str">
        <x:v>Scénario de risque</x:v>
      </x:c>
      <x:c r="D1" s="14" t="str">
        <x:v>Menace</x:v>
      </x:c>
      <x:c r="E1" s="14" t="str">
        <x:v>Vulnérabilité</x:v>
      </x:c>
      <x:c r="F1" s="14" t="str">
        <x:v>C/I/D touchés</x:v>
      </x:c>
      <x:c r="G1" s="14" t="str">
        <x:v>Probabilité (1-4)</x:v>
      </x:c>
      <x:c r="H1" s="14" t="str">
        <x:v>Impact (1-4)</x:v>
      </x:c>
      <x:c r="I1" s="14" t="str">
        <x:v>Risque brut</x:v>
      </x:c>
      <x:c r="J1" s="14" t="str">
        <x:v>Niveau brut</x:v>
      </x:c>
      <x:c r="K1" s="14" t="str">
        <x:v>Mesures existantes</x:v>
      </x:c>
      <x:c r="L1" s="14" t="str">
        <x:v>Traitement choisi</x:v>
      </x:c>
      <x:c r="M1" s="14" t="str">
        <x:v>Mesure cible</x:v>
      </x:c>
      <x:c r="N1" s="14" t="str">
        <x:v>Responsable</x:v>
      </x:c>
      <x:c r="O1" s="14" t="str">
        <x:v>Probabilité résiduelle</x:v>
      </x:c>
      <x:c r="P1" s="14" t="str">
        <x:v>Impact résiduel</x:v>
      </x:c>
      <x:c r="Q1" s="14" t="str">
        <x:v>Risque résiduel</x:v>
      </x:c>
      <x:c r="R1" s="14" t="str">
        <x:v>Niveau résiduel</x:v>
      </x:c>
      <x:c r="S1" s="14" t="str">
        <x:v>Preuve attendue</x:v>
      </x:c>
      <x:c r="T1" s="14" t="str">
        <x:v>Statut</x:v>
      </x:c>
    </x:row>
    <x:row r="2">
      <x:c r="A2" s="15" t="str">
        <x:v>R01</x:v>
      </x:c>
      <x:c r="B2" s="15" t="str">
        <x:v>Serveur de fichiers</x:v>
      </x:c>
      <x:c r="C2" s="15" t="str">
        <x:v>Chiffrement des dossiers partagés par ransomware</x:v>
      </x:c>
      <x:c r="D2" s="15" t="str">
        <x:v>Ransomware</x:v>
      </x:c>
      <x:c r="E2" s="15" t="str">
        <x:v>Sauvegardes non testées et droits trop larges</x:v>
      </x:c>
      <x:c r="F2" s="15" t="str">
        <x:v>C/I/D</x:v>
      </x:c>
      <x:c r="G2" s="15" t="n">
        <x:v>4</x:v>
      </x:c>
      <x:c r="H2" s="15" t="n">
        <x:v>4</x:v>
      </x:c>
      <x:c r="I2" s="15" t="n">
        <x:f>G2*H2</x:f>
        <x:v>16</x:v>
      </x:c>
      <x:c r="J2" s="15" t="str">
        <x:f>IF(I2&gt;=12,"Critique",IF(I2&gt;=8,"Elevé",IF(I2&gt;=4,"Modéré","Faible")))</x:f>
        <x:v>Critique</x:v>
      </x:c>
      <x:c r="K2" s="15" t="str">
        <x:v>Antivirus standard</x:v>
      </x:c>
      <x:c r="L2" s="15" t="str">
        <x:v>Réduire</x:v>
      </x:c>
      <x:c r="M2" s="15" t="str">
        <x:v>Sauvegarde 3-2-1, EDR, limitation des droits, test restauration</x:v>
      </x:c>
      <x:c r="N2" s="15" t="str">
        <x:v>Responsable IT</x:v>
      </x:c>
      <x:c r="O2" s="15" t="n">
        <x:v>2</x:v>
      </x:c>
      <x:c r="P2" s="15" t="n">
        <x:v>3</x:v>
      </x:c>
      <x:c r="Q2" s="15" t="n">
        <x:f>O2*P2</x:f>
        <x:v>6</x:v>
      </x:c>
      <x:c r="R2" s="15" t="str">
        <x:f>IF(Q2&gt;=12,"Critique",IF(Q2&gt;=8,"Elevé",IF(Q2&gt;=4,"Modéré","Faible")))</x:f>
        <x:v>Modéré</x:v>
      </x:c>
      <x:c r="S2" s="15" t="str">
        <x:v>Rapport sauvegarde + test restauration</x:v>
      </x:c>
      <x:c r="T2" s="15" t="str">
        <x:v>A traiter</x:v>
      </x:c>
    </x:row>
    <x:row r="3">
      <x:c r="A3" s="15" t="str">
        <x:v>R02</x:v>
      </x:c>
      <x:c r="B3" s="15" t="str">
        <x:v>Messagerie Microsoft 365</x:v>
      </x:c>
      <x:c r="C3" s="15" t="str">
        <x:v>Compte compromis après phishing</x:v>
      </x:c>
      <x:c r="D3" s="15" t="str">
        <x:v>Phishing</x:v>
      </x:c>
      <x:c r="E3" s="15" t="str">
        <x:v>MFA non généralisée et faible sensibilisation</x:v>
      </x:c>
      <x:c r="F3" s="15" t="str">
        <x:v>C/I</x:v>
      </x:c>
      <x:c r="G3" s="15" t="n">
        <x:v>4</x:v>
      </x:c>
      <x:c r="H3" s="15" t="n">
        <x:v>4</x:v>
      </x:c>
      <x:c r="I3" s="15" t="n">
        <x:f>G3*H3</x:f>
        <x:v>16</x:v>
      </x:c>
      <x:c r="J3" s="15" t="str">
        <x:f>IF(I3&gt;=12,"Critique",IF(I3&gt;=8,"Elevé",IF(I3&gt;=4,"Modéré","Faible")))</x:f>
        <x:v>Critique</x:v>
      </x:c>
      <x:c r="K3" s="15" t="str">
        <x:v>Filtrage antispam</x:v>
      </x:c>
      <x:c r="L3" s="15" t="str">
        <x:v>Réduire</x:v>
      </x:c>
      <x:c r="M3" s="15" t="str">
        <x:v>MFA, campagne sensibilisation, procédure signalement</x:v>
      </x:c>
      <x:c r="N3" s="15" t="str">
        <x:v>Responsable IT</x:v>
      </x:c>
      <x:c r="O3" s="15" t="n">
        <x:v>2</x:v>
      </x:c>
      <x:c r="P3" s="15" t="n">
        <x:v>3</x:v>
      </x:c>
      <x:c r="Q3" s="15" t="n">
        <x:f>O3*P3</x:f>
        <x:v>6</x:v>
      </x:c>
      <x:c r="R3" s="15" t="str">
        <x:f>IF(Q3&gt;=12,"Critique",IF(Q3&gt;=8,"Elevé",IF(Q3&gt;=4,"Modéré","Faible")))</x:f>
        <x:v>Modéré</x:v>
      </x:c>
      <x:c r="S3" s="15" t="str">
        <x:v>Capture MFA + support sensibilisation</x:v>
      </x:c>
      <x:c r="T3" s="15" t="str">
        <x:v>En cours</x:v>
      </x:c>
    </x:row>
    <x:row r="4">
      <x:c r="A4" s="15" t="str">
        <x:v>R03</x:v>
      </x:c>
      <x:c r="B4" s="15" t="str">
        <x:v>Données RH et finance</x:v>
      </x:c>
      <x:c r="C4" s="15" t="str">
        <x:v>Accès non autorisé à des données sensibles</x:v>
      </x:c>
      <x:c r="D4" s="15" t="str">
        <x:v>Erreur interne</x:v>
      </x:c>
      <x:c r="E4" s="15" t="str">
        <x:v>Droits hérités et absence de revue périodique</x:v>
      </x:c>
      <x:c r="F4" s="15" t="str">
        <x:v>C/I</x:v>
      </x:c>
      <x:c r="G4" s="15" t="n">
        <x:v>3</x:v>
      </x:c>
      <x:c r="H4" s="15" t="n">
        <x:v>4</x:v>
      </x:c>
      <x:c r="I4" s="15" t="n">
        <x:f>G4*H4</x:f>
        <x:v>12</x:v>
      </x:c>
      <x:c r="J4" s="15" t="str">
        <x:f>IF(I4&gt;=12,"Critique",IF(I4&gt;=8,"Elevé",IF(I4&gt;=4,"Modéré","Faible")))</x:f>
        <x:v>Critique</x:v>
      </x:c>
      <x:c r="K4" s="15" t="str">
        <x:v>Dossiers restreints</x:v>
      </x:c>
      <x:c r="L4" s="15" t="str">
        <x:v>Réduire</x:v>
      </x:c>
      <x:c r="M4" s="15" t="str">
        <x:v>Revue trimestrielle des droits et validation manager</x:v>
      </x:c>
      <x:c r="N4" s="15" t="str">
        <x:v>RH/Finance</x:v>
      </x:c>
      <x:c r="O4" s="15" t="n">
        <x:v>2</x:v>
      </x:c>
      <x:c r="P4" s="15" t="n">
        <x:v>3</x:v>
      </x:c>
      <x:c r="Q4" s="15" t="n">
        <x:f>O4*P4</x:f>
        <x:v>6</x:v>
      </x:c>
      <x:c r="R4" s="15" t="str">
        <x:f>IF(Q4&gt;=12,"Critique",IF(Q4&gt;=8,"Elevé",IF(Q4&gt;=4,"Modéré","Faible")))</x:f>
        <x:v>Modéré</x:v>
      </x:c>
      <x:c r="S4" s="15" t="str">
        <x:v>Compte rendu revue des droits</x:v>
      </x:c>
      <x:c r="T4" s="15" t="str">
        <x:v>A traiter</x:v>
      </x:c>
    </x:row>
    <x:row r="5">
      <x:c r="A5" s="15" t="str">
        <x:v>R04</x:v>
      </x:c>
      <x:c r="B5" s="15" t="str">
        <x:v>Accès Internet et pare-feu</x:v>
      </x:c>
      <x:c r="C5" s="15" t="str">
        <x:v>Indisponibilité de l'accès Internet</x:v>
      </x:c>
      <x:c r="D5" s="15" t="str">
        <x:v>Panne opérateur / panne équipement</x:v>
      </x:c>
      <x:c r="E5" s="15" t="str">
        <x:v>Pas de lien de secours documenté</x:v>
      </x:c>
      <x:c r="F5" s="15" t="str">
        <x:v>D</x:v>
      </x:c>
      <x:c r="G5" s="15" t="n">
        <x:v>3</x:v>
      </x:c>
      <x:c r="H5" s="15" t="n">
        <x:v>4</x:v>
      </x:c>
      <x:c r="I5" s="15" t="n">
        <x:f>G5*H5</x:f>
        <x:v>12</x:v>
      </x:c>
      <x:c r="J5" s="15" t="str">
        <x:f>IF(I5&gt;=12,"Critique",IF(I5&gt;=8,"Elevé",IF(I5&gt;=4,"Modéré","Faible")))</x:f>
        <x:v>Critique</x:v>
      </x:c>
      <x:c r="K5" s="15" t="str">
        <x:v>Pare-feu en place</x:v>
      </x:c>
      <x:c r="L5" s="15" t="str">
        <x:v>Réduire</x:v>
      </x:c>
      <x:c r="M5" s="15" t="str">
        <x:v>Procédure de secours, sauvegarde configuration, lien 4G/secondaire</x:v>
      </x:c>
      <x:c r="N5" s="15" t="str">
        <x:v>Responsable IT</x:v>
      </x:c>
      <x:c r="O5" s="15" t="n">
        <x:v>2</x:v>
      </x:c>
      <x:c r="P5" s="15" t="n">
        <x:v>3</x:v>
      </x:c>
      <x:c r="Q5" s="15" t="n">
        <x:f>O5*P5</x:f>
        <x:v>6</x:v>
      </x:c>
      <x:c r="R5" s="15" t="str">
        <x:f>IF(Q5&gt;=12,"Critique",IF(Q5&gt;=8,"Elevé",IF(Q5&gt;=4,"Modéré","Faible")))</x:f>
        <x:v>Modéré</x:v>
      </x:c>
      <x:c r="S5" s="15" t="str">
        <x:v>Sauvegarde config + test bascule</x:v>
      </x:c>
      <x:c r="T5" s="15" t="str">
        <x:v>A traiter</x:v>
      </x:c>
    </x:row>
    <x:row r="6">
      <x:c r="A6" s="15" t="str">
        <x:v>R05</x:v>
      </x:c>
      <x:c r="B6" s="15" t="str">
        <x:v>Site web public</x:v>
      </x:c>
      <x:c r="C6" s="15" t="str">
        <x:v>Défiguration du site public</x:v>
      </x:c>
      <x:c r="D6" s="15" t="str">
        <x:v>Attaque web</x:v>
      </x:c>
      <x:c r="E6" s="15" t="str">
        <x:v>CMS ou plugin non à jour</x:v>
      </x:c>
      <x:c r="F6" s="15" t="str">
        <x:v>I/D</x:v>
      </x:c>
      <x:c r="G6" s="15" t="n">
        <x:v>3</x:v>
      </x:c>
      <x:c r="H6" s="15" t="n">
        <x:v>3</x:v>
      </x:c>
      <x:c r="I6" s="15" t="n">
        <x:f>G6*H6</x:f>
        <x:v>9</x:v>
      </x:c>
      <x:c r="J6" s="15" t="str">
        <x:f>IF(I6&gt;=12,"Critique",IF(I6&gt;=8,"Elevé",IF(I6&gt;=4,"Modéré","Faible")))</x:f>
        <x:v>Elevé</x:v>
      </x:c>
      <x:c r="K6" s="15" t="str">
        <x:v>Hébergement externe</x:v>
      </x:c>
      <x:c r="L6" s="15" t="str">
        <x:v>Réduire</x:v>
      </x:c>
      <x:c r="M6" s="15" t="str">
        <x:v>Patch management, sauvegarde site, compte admin sécurisé</x:v>
      </x:c>
      <x:c r="N6" s="15" t="str">
        <x:v>Communication</x:v>
      </x:c>
      <x:c r="O6" s="15" t="n">
        <x:v>2</x:v>
      </x:c>
      <x:c r="P6" s="15" t="n">
        <x:v>2</x:v>
      </x:c>
      <x:c r="Q6" s="15" t="n">
        <x:f>O6*P6</x:f>
        <x:v>4</x:v>
      </x:c>
      <x:c r="R6" s="15" t="str">
        <x:f>IF(Q6&gt;=12,"Critique",IF(Q6&gt;=8,"Elevé",IF(Q6&gt;=4,"Modéré","Faible")))</x:f>
        <x:v>Modéré</x:v>
      </x:c>
      <x:c r="S6" s="15" t="str">
        <x:v>Journal mises à jour + backup</x:v>
      </x:c>
      <x:c r="T6" s="15" t="str">
        <x:v>A traiter</x:v>
      </x:c>
    </x:row>
    <x:row r="7">
      <x:c r="A7" s="15" t="str">
        <x:v>R06</x:v>
      </x:c>
      <x:c r="B7" s="15" t="str">
        <x:v>Annuaire et comptes utilisateurs</x:v>
      </x:c>
      <x:c r="C7" s="15" t="str">
        <x:v>Compromission d'un compte administrateur</x:v>
      </x:c>
      <x:c r="D7" s="15" t="str">
        <x:v>Vol d'identifiants</x:v>
      </x:c>
      <x:c r="E7" s="15" t="str">
        <x:v>Compte admin utilisé au quotidien</x:v>
      </x:c>
      <x:c r="F7" s="15" t="str">
        <x:v>C/I/D</x:v>
      </x:c>
      <x:c r="G7" s="15" t="n">
        <x:v>3</x:v>
      </x:c>
      <x:c r="H7" s="15" t="n">
        <x:v>4</x:v>
      </x:c>
      <x:c r="I7" s="15" t="n">
        <x:f>G7*H7</x:f>
        <x:v>12</x:v>
      </x:c>
      <x:c r="J7" s="15" t="str">
        <x:f>IF(I7&gt;=12,"Critique",IF(I7&gt;=8,"Elevé",IF(I7&gt;=4,"Modéré","Faible")))</x:f>
        <x:v>Critique</x:v>
      </x:c>
      <x:c r="K7" s="15" t="str">
        <x:v>Mot de passe fort</x:v>
      </x:c>
      <x:c r="L7" s="15" t="str">
        <x:v>Réduire</x:v>
      </x:c>
      <x:c r="M7" s="15" t="str">
        <x:v>Comptes admin séparés, MFA, coffre-fort mots de passe</x:v>
      </x:c>
      <x:c r="N7" s="15" t="str">
        <x:v>Responsable IT</x:v>
      </x:c>
      <x:c r="O7" s="15" t="n">
        <x:v>1</x:v>
      </x:c>
      <x:c r="P7" s="15" t="n">
        <x:v>3</x:v>
      </x:c>
      <x:c r="Q7" s="15" t="n">
        <x:f>O7*P7</x:f>
        <x:v>3</x:v>
      </x:c>
      <x:c r="R7" s="15" t="str">
        <x:f>IF(Q7&gt;=12,"Critique",IF(Q7&gt;=8,"Elevé",IF(Q7&gt;=4,"Modéré","Faible")))</x:f>
        <x:v>Faible</x:v>
      </x:c>
      <x:c r="S7" s="15" t="str">
        <x:v>Liste comptes admin + preuve MFA</x:v>
      </x:c>
      <x:c r="T7" s="15" t="str">
        <x:v>A traiter</x:v>
      </x:c>
    </x:row>
    <x:row r="8">
      <x:c r="A8" s="15" t="str">
        <x:v>R07</x:v>
      </x:c>
      <x:c r="B8" s="15" t="str">
        <x:v>Prestataire IT</x:v>
      </x:c>
      <x:c r="C8" s="15" t="str">
        <x:v>Erreur ou action non maîtrisée du prestataire</x:v>
      </x:c>
      <x:c r="D8" s="15" t="str">
        <x:v>Erreur humaine / tiers</x:v>
      </x:c>
      <x:c r="E8" s="15" t="str">
        <x:v>Clauses sécurité insuffisantes et absence de traçabilité</x:v>
      </x:c>
      <x:c r="F8" s="15" t="str">
        <x:v>C/I/D</x:v>
      </x:c>
      <x:c r="G8" s="15" t="n">
        <x:v>3</x:v>
      </x:c>
      <x:c r="H8" s="15" t="n">
        <x:v>3</x:v>
      </x:c>
      <x:c r="I8" s="15" t="n">
        <x:f>G8*H8</x:f>
        <x:v>9</x:v>
      </x:c>
      <x:c r="J8" s="15" t="str">
        <x:f>IF(I8&gt;=12,"Critique",IF(I8&gt;=8,"Elevé",IF(I8&gt;=4,"Modéré","Faible")))</x:f>
        <x:v>Elevé</x:v>
      </x:c>
      <x:c r="K8" s="15" t="str">
        <x:v>Contrat support</x:v>
      </x:c>
      <x:c r="L8" s="15" t="str">
        <x:v>Réduire</x:v>
      </x:c>
      <x:c r="M8" s="15" t="str">
        <x:v>Revue contrat, comptes nominatifs, journalisation des actions</x:v>
      </x:c>
      <x:c r="N8" s="15" t="str">
        <x:v>Direction</x:v>
      </x:c>
      <x:c r="O8" s="15" t="n">
        <x:v>2</x:v>
      </x:c>
      <x:c r="P8" s="15" t="n">
        <x:v>2</x:v>
      </x:c>
      <x:c r="Q8" s="15" t="n">
        <x:f>O8*P8</x:f>
        <x:v>4</x:v>
      </x:c>
      <x:c r="R8" s="15" t="str">
        <x:f>IF(Q8&gt;=12,"Critique",IF(Q8&gt;=8,"Elevé",IF(Q8&gt;=4,"Modéré","Faible")))</x:f>
        <x:v>Modéré</x:v>
      </x:c>
      <x:c r="S8" s="15" t="str">
        <x:v>Contrat + liste accès prestataire</x:v>
      </x:c>
      <x:c r="T8" s="15" t="str">
        <x:v>A traiter</x:v>
      </x:c>
    </x:row>
    <x:row r="9">
      <x:c r="A9" s="15" t="str">
        <x:v>R08</x:v>
      </x:c>
      <x:c r="B9" s="15" t="str">
        <x:v>Sauvegardes</x:v>
      </x:c>
      <x:c r="C9" s="15" t="str">
        <x:v>Sauvegarde indisponible lors d'un incident</x:v>
      </x:c>
      <x:c r="D9" s="15" t="str">
        <x:v>Panne / ransomware</x:v>
      </x:c>
      <x:c r="E9" s="15" t="str">
        <x:v>Copie non isolée ou non testée</x:v>
      </x:c>
      <x:c r="F9" s="15" t="str">
        <x:v>D/I</x:v>
      </x:c>
      <x:c r="G9" s="15" t="n">
        <x:v>3</x:v>
      </x:c>
      <x:c r="H9" s="15" t="n">
        <x:v>4</x:v>
      </x:c>
      <x:c r="I9" s="15" t="n">
        <x:f>G9*H9</x:f>
        <x:v>12</x:v>
      </x:c>
      <x:c r="J9" s="15" t="str">
        <x:f>IF(I9&gt;=12,"Critique",IF(I9&gt;=8,"Elevé",IF(I9&gt;=4,"Modéré","Faible")))</x:f>
        <x:v>Critique</x:v>
      </x:c>
      <x:c r="K9" s="15" t="str">
        <x:v>Sauvegarde locale</x:v>
      </x:c>
      <x:c r="L9" s="15" t="str">
        <x:v>Réduire</x:v>
      </x:c>
      <x:c r="M9" s="15" t="str">
        <x:v>Copie isolée, test trimestriel, alerte échec backup</x:v>
      </x:c>
      <x:c r="N9" s="15" t="str">
        <x:v>Responsable IT</x:v>
      </x:c>
      <x:c r="O9" s="15" t="n">
        <x:v>1</x:v>
      </x:c>
      <x:c r="P9" s="15" t="n">
        <x:v>3</x:v>
      </x:c>
      <x:c r="Q9" s="15" t="n">
        <x:f>O9*P9</x:f>
        <x:v>3</x:v>
      </x:c>
      <x:c r="R9" s="15" t="str">
        <x:f>IF(Q9&gt;=12,"Critique",IF(Q9&gt;=8,"Elevé",IF(Q9&gt;=4,"Modéré","Faible")))</x:f>
        <x:v>Faible</x:v>
      </x:c>
      <x:c r="S9" s="15" t="str">
        <x:v>Rapport de test restauration</x:v>
      </x:c>
      <x:c r="T9" s="15" t="str">
        <x:v>A traiter</x:v>
      </x:c>
    </x:row>
    <x:row r="10">
      <x:c r="A10" s="15" t="str">
        <x:v>R09</x:v>
      </x:c>
      <x:c r="B10" s="15" t="str">
        <x:v>Postes utilisateurs</x:v>
      </x:c>
      <x:c r="C10" s="15" t="str">
        <x:v>Infection malware depuis une pièce jointe</x:v>
      </x:c>
      <x:c r="D10" s="15" t="str">
        <x:v>Malware</x:v>
      </x:c>
      <x:c r="E10" s="15" t="str">
        <x:v>Sensibilisation insuffisante et macros autorisées</x:v>
      </x:c>
      <x:c r="F10" s="15" t="str">
        <x:v>C/I/D</x:v>
      </x:c>
      <x:c r="G10" s="15" t="n">
        <x:v>3</x:v>
      </x:c>
      <x:c r="H10" s="15" t="n">
        <x:v>3</x:v>
      </x:c>
      <x:c r="I10" s="15" t="n">
        <x:f>G10*H10</x:f>
        <x:v>9</x:v>
      </x:c>
      <x:c r="J10" s="15" t="str">
        <x:f>IF(I10&gt;=12,"Critique",IF(I10&gt;=8,"Elevé",IF(I10&gt;=4,"Modéré","Faible")))</x:f>
        <x:v>Elevé</x:v>
      </x:c>
      <x:c r="K10" s="15" t="str">
        <x:v>Antivirus</x:v>
      </x:c>
      <x:c r="L10" s="15" t="str">
        <x:v>Réduire</x:v>
      </x:c>
      <x:c r="M10" s="15" t="str">
        <x:v>Sensibilisation, blocage macros Internet, EDR</x:v>
      </x:c>
      <x:c r="N10" s="15" t="str">
        <x:v>Support IT</x:v>
      </x:c>
      <x:c r="O10" s="15" t="n">
        <x:v>2</x:v>
      </x:c>
      <x:c r="P10" s="15" t="n">
        <x:v>2</x:v>
      </x:c>
      <x:c r="Q10" s="15" t="n">
        <x:f>O10*P10</x:f>
        <x:v>4</x:v>
      </x:c>
      <x:c r="R10" s="15" t="str">
        <x:f>IF(Q10&gt;=12,"Critique",IF(Q10&gt;=8,"Elevé",IF(Q10&gt;=4,"Modéré","Faible")))</x:f>
        <x:v>Modéré</x:v>
      </x:c>
      <x:c r="S10" s="15" t="str">
        <x:v>Politique poste + support phishing</x:v>
      </x:c>
      <x:c r="T10" s="15" t="str">
        <x:v>A traiter</x:v>
      </x:c>
    </x:row>
    <x:row r="11">
      <x:c r="A11" s="15" t="str">
        <x:v>R10</x:v>
      </x:c>
      <x:c r="B11" s="15" t="str">
        <x:v>Journalisation</x:v>
      </x:c>
      <x:c r="C11" s="15" t="str">
        <x:v>Impossible de comprendre un incident</x:v>
      </x:c>
      <x:c r="D11" s="15" t="str">
        <x:v>Incident non tracé</x:v>
      </x:c>
      <x:c r="E11" s="15" t="str">
        <x:v>Logs non centralisés ou non conservés</x:v>
      </x:c>
      <x:c r="F11" s="15" t="str">
        <x:v>I</x:v>
      </x:c>
      <x:c r="G11" s="15" t="n">
        <x:v>2</x:v>
      </x:c>
      <x:c r="H11" s="15" t="n">
        <x:v>4</x:v>
      </x:c>
      <x:c r="I11" s="15" t="n">
        <x:f>G11*H11</x:f>
        <x:v>8</x:v>
      </x:c>
      <x:c r="J11" s="15" t="str">
        <x:f>IF(I11&gt;=12,"Critique",IF(I11&gt;=8,"Elevé",IF(I11&gt;=4,"Modéré","Faible")))</x:f>
        <x:v>Elevé</x:v>
      </x:c>
      <x:c r="K11" s="15" t="str">
        <x:v>Logs applicatifs dispersés</x:v>
      </x:c>
      <x:c r="L11" s="15" t="str">
        <x:v>Réduire</x:v>
      </x:c>
      <x:c r="M11" s="15" t="str">
        <x:v>Activer journaux M365, pare-feu, admin et définir rétention</x:v>
      </x:c>
      <x:c r="N11" s="15" t="str">
        <x:v>Responsable IT</x:v>
      </x:c>
      <x:c r="O11" s="15" t="n">
        <x:v>1</x:v>
      </x:c>
      <x:c r="P11" s="15" t="n">
        <x:v>3</x:v>
      </x:c>
      <x:c r="Q11" s="15" t="n">
        <x:f>O11*P11</x:f>
        <x:v>3</x:v>
      </x:c>
      <x:c r="R11" s="15" t="str">
        <x:f>IF(Q11&gt;=12,"Critique",IF(Q11&gt;=8,"Elevé",IF(Q11&gt;=4,"Modéré","Faible")))</x:f>
        <x:v>Faible</x:v>
      </x:c>
      <x:c r="S11" s="15" t="str">
        <x:v>Export paramètres logs</x:v>
      </x:c>
      <x:c r="T11" s="15" t="str">
        <x:v>A traiter</x:v>
      </x:c>
    </x:row>
  </x:sheetData>
  <x:conditionalFormatting sqref="I2:I1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Q2:Q11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4">
    <x:dataValidation type="list" sqref="G2:H100">
      <x:formula1>"1,2,3,4"</x:formula1>
    </x:dataValidation>
    <x:dataValidation type="list" sqref="O2:P100">
      <x:formula1>"1,2,3,4"</x:formula1>
    </x:dataValidation>
    <x:dataValidation type="list" sqref="L2:L100">
      <x:formula1>"Accepter,Réduire,Transférer,Eviter"</x:formula1>
    </x:dataValidation>
    <x:dataValidation type="list" sqref="T2:T100">
      <x:formula1>"A traiter,En cours,Fait,Abandonné"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bdf02811f4b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0" t="str">
        <x:v>Matrice de risque - Probabilité x Impact</x:v>
      </x:c>
    </x:row>
    <x:row r="3">
      <x:c r="A3" s="5" t="str">
        <x:v>Probabilité \ Impact</x:v>
      </x:c>
      <x:c r="B3" s="5" t="n">
        <x:v>1</x:v>
      </x:c>
      <x:c r="C3" s="5" t="n">
        <x:v>2</x:v>
      </x:c>
      <x:c r="D3" s="5" t="n">
        <x:v>3</x:v>
      </x:c>
      <x:c r="E3" s="5" t="n">
        <x:v>4</x:v>
      </x:c>
      <x:c r="F3" s="5" t="str">
        <x:v>Lecture</x:v>
      </x:c>
    </x:row>
    <x:row r="4">
      <x:c r="A4" t="n">
        <x:v>1</x:v>
      </x:c>
      <x:c r="B4" t="n">
        <x:v>1</x:v>
      </x:c>
      <x:c r="C4" t="n">
        <x:v>2</x:v>
      </x:c>
      <x:c r="D4" t="n">
        <x:v>3</x:v>
      </x:c>
      <x:c r="E4" t="n">
        <x:v>4</x:v>
      </x:c>
      <x:c r="F4" t="str">
        <x:v>Score = P x I</x:v>
      </x:c>
    </x:row>
    <x:row r="5">
      <x:c r="A5" t="n">
        <x:v>2</x:v>
      </x:c>
      <x:c r="B5" t="n">
        <x:v>2</x:v>
      </x:c>
      <x:c r="C5" t="n">
        <x:v>4</x:v>
      </x:c>
      <x:c r="D5" t="n">
        <x:v>6</x:v>
      </x:c>
      <x:c r="E5" t="n">
        <x:v>8</x:v>
      </x:c>
      <x:c r="F5" t="str">
        <x:v>Score = P x I</x:v>
      </x:c>
    </x:row>
    <x:row r="6">
      <x:c r="A6" t="n">
        <x:v>3</x:v>
      </x:c>
      <x:c r="B6" t="n">
        <x:v>3</x:v>
      </x:c>
      <x:c r="C6" t="n">
        <x:v>6</x:v>
      </x:c>
      <x:c r="D6" t="n">
        <x:v>9</x:v>
      </x:c>
      <x:c r="E6" t="n">
        <x:v>12</x:v>
      </x:c>
      <x:c r="F6" t="str">
        <x:v>Score = P x I</x:v>
      </x:c>
    </x:row>
    <x:row r="7">
      <x:c r="A7" t="n">
        <x:v>4</x:v>
      </x:c>
      <x:c r="B7" t="n">
        <x:v>4</x:v>
      </x:c>
      <x:c r="C7" t="n">
        <x:v>8</x:v>
      </x:c>
      <x:c r="D7" t="n">
        <x:v>12</x:v>
      </x:c>
      <x:c r="E7" t="n">
        <x:v>16</x:v>
      </x:c>
      <x:c r="F7" t="str">
        <x:v>Score = P x I</x:v>
      </x:c>
    </x:row>
    <x:row r="10">
      <x:c r="A10" s="5" t="str">
        <x:v>Score</x:v>
      </x:c>
      <x:c r="B10" s="5" t="str">
        <x:v>Niveau</x:v>
      </x:c>
      <x:c r="C10" s="5" t="str">
        <x:v>Décision</x:v>
      </x:c>
    </x:row>
    <x:row r="11">
      <x:c r="A11" t="str">
        <x:v>1-3</x:v>
      </x:c>
      <x:c r="B11" t="str">
        <x:v>Faible</x:v>
      </x:c>
      <x:c r="C11" t="str">
        <x:v>Surveiller</x:v>
      </x:c>
    </x:row>
    <x:row r="12">
      <x:c r="A12" t="str">
        <x:v>4-7</x:v>
      </x:c>
      <x:c r="B12" t="str">
        <x:v>Modéré</x:v>
      </x:c>
      <x:c r="C12" t="str">
        <x:v>Planifier</x:v>
      </x:c>
    </x:row>
    <x:row r="13">
      <x:c r="A13" t="str">
        <x:v>8-11</x:v>
      </x:c>
      <x:c r="B13" t="str">
        <x:v>Elevé</x:v>
      </x:c>
      <x:c r="C13" t="str">
        <x:v>Prioriser</x:v>
      </x:c>
    </x:row>
    <x:row r="14">
      <x:c r="A14" t="str">
        <x:v>12-16</x:v>
      </x:c>
      <x:c r="B14" t="str">
        <x:v>Critique</x:v>
      </x:c>
      <x:c r="C14" t="str">
        <x:v>Traiter rapidement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0" t="str">
        <x:v>Synthèse - Analyse des risques</x:v>
      </x:c>
    </x:row>
    <x:row r="3">
      <x:c r="A3" s="25" t="str">
        <x:v>Nombre de risques</x:v>
      </x:c>
      <x:c r="B3" t="n">
        <x:f>COUNTA('Registre risques'!A2:A11)</x:f>
        <x:v>10</x:v>
      </x:c>
    </x:row>
    <x:row r="4">
      <x:c r="A4" s="25" t="str">
        <x:v>Risques critiques bruts</x:v>
      </x:c>
      <x:c r="B4" t="n">
        <x:f>COUNTIF('Registre risques'!J2:J11,"Critique")</x:f>
        <x:v>6</x:v>
      </x:c>
    </x:row>
    <x:row r="5">
      <x:c r="A5" s="25" t="str">
        <x:v>Risques élevés bruts</x:v>
      </x:c>
      <x:c r="B5" t="n">
        <x:f>COUNTIF('Registre risques'!J2:J11,"Elevé")</x:f>
        <x:v>4</x:v>
      </x:c>
    </x:row>
    <x:row r="6">
      <x:c r="A6" s="25" t="str">
        <x:v>Score brut moyen</x:v>
      </x:c>
      <x:c r="B6" t="n">
        <x:f>AVERAGE('Registre risques'!I2:I11)</x:f>
        <x:v>11.5</x:v>
      </x:c>
    </x:row>
    <x:row r="7">
      <x:c r="A7" s="25" t="str">
        <x:v>Score résiduel moyen</x:v>
      </x:c>
      <x:c r="B7" t="n">
        <x:f>AVERAGE('Registre risques'!Q2:Q11)</x:f>
        <x:v>4.5</x:v>
      </x:c>
    </x:row>
    <x:row r="8">
      <x:c r="A8" s="25" t="str">
        <x:v>Risque prioritaire 1</x:v>
      </x:c>
      <x:c r="B8" t="str">
        <x:v>R01 - Ransomware serveur de fichiers</x:v>
      </x:c>
    </x:row>
    <x:row r="9">
      <x:c r="A9" s="25" t="str">
        <x:v>Risque prioritaire 2</x:v>
      </x:c>
      <x:c r="B9" t="str">
        <x:v>R02 - Compromission messagerie</x:v>
      </x:c>
    </x:row>
  </x:sheetData>
  <x:mergeCells>
    <x:mergeCell ref="A1:D1"/>
  </x:mergeCells>
  <x:pageMargins left="0.7" right="0.7" top="0.75" bottom="0.75" header="0.3" footer="0.3"/>
</x:worksheet>
</file>